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.fedichev\Desktop\Проекты\Press_CPU\BOM\"/>
    </mc:Choice>
  </mc:AlternateContent>
  <xr:revisionPtr revIDLastSave="0" documentId="13_ncr:1_{94559C77-F15D-4791-AB7D-40795BF5B707}" xr6:coauthVersionLast="45" xr6:coauthVersionMax="47" xr10:uidLastSave="{00000000-0000-0000-0000-000000000000}"/>
  <bookViews>
    <workbookView xWindow="4596" yWindow="3396" windowWidth="17280" windowHeight="8964" xr2:uid="{00000000-000D-0000-FFFF-FFFF00000000}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6" i="1" l="1"/>
  <c r="I2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7" i="1"/>
  <c r="I28" i="1"/>
  <c r="I29" i="1"/>
  <c r="I30" i="1"/>
  <c r="I31" i="1"/>
  <c r="I32" i="1"/>
  <c r="I33" i="1"/>
  <c r="I34" i="1"/>
  <c r="I2" i="1"/>
</calcChain>
</file>

<file path=xl/sharedStrings.xml><?xml version="1.0" encoding="utf-8"?>
<sst xmlns="http://schemas.openxmlformats.org/spreadsheetml/2006/main" count="181" uniqueCount="110">
  <si>
    <t>Reference</t>
  </si>
  <si>
    <t>Value</t>
  </si>
  <si>
    <t>Product Name</t>
  </si>
  <si>
    <t>Replacement</t>
  </si>
  <si>
    <t>Description P/N</t>
  </si>
  <si>
    <t>Footprint</t>
  </si>
  <si>
    <t>Qty</t>
  </si>
  <si>
    <t>DNP</t>
  </si>
  <si>
    <t>C1,C2,C8,C9,C12,C13,C33,C34,C35,C36,C46,C47,C51,C52,C53,C55,C56,C57</t>
  </si>
  <si>
    <t>100n</t>
  </si>
  <si>
    <t>Capacitor_SMD:C_0603_1608Metric_Pad1.08x0.95mm_HandSolder</t>
  </si>
  <si>
    <t>C4,C10</t>
  </si>
  <si>
    <t>56p</t>
  </si>
  <si>
    <t>C6,C20,C21,C58</t>
  </si>
  <si>
    <t>2.2u</t>
  </si>
  <si>
    <t>C14</t>
  </si>
  <si>
    <t>4.7u</t>
  </si>
  <si>
    <t>C15,C54</t>
  </si>
  <si>
    <t>1u</t>
  </si>
  <si>
    <t>C17,C18,C22,C23</t>
  </si>
  <si>
    <t>10u</t>
  </si>
  <si>
    <t>Capacitor_SMD:C_0805_2012Metric_Pad1.18x1.45mm_HandSolder</t>
  </si>
  <si>
    <t>C19</t>
  </si>
  <si>
    <t>100u</t>
  </si>
  <si>
    <t>Capacitor_Tantalum_SMD:CP_EIA-3528-21_Kemet-B_HandSolder</t>
  </si>
  <si>
    <t>C37,C39,C40,C41,C43,C44,C45</t>
  </si>
  <si>
    <t>1n</t>
  </si>
  <si>
    <t>D1</t>
  </si>
  <si>
    <t>~</t>
  </si>
  <si>
    <t>SIT65HVD232DR</t>
  </si>
  <si>
    <t>CAN interface</t>
  </si>
  <si>
    <t>Package_SO:SOIC-8_3.9x4.9mm_P1.27mm</t>
  </si>
  <si>
    <t>D2</t>
  </si>
  <si>
    <t>PESD2CAN</t>
  </si>
  <si>
    <t>Dual Line CAN Bus Protector, 24Vrwm</t>
  </si>
  <si>
    <t>Package_TO_SOT_SMD:SOT-23</t>
  </si>
  <si>
    <t>D3,D8,D9,D10,D11</t>
  </si>
  <si>
    <t>GSOT03C-E3-08</t>
  </si>
  <si>
    <t>Package_TO_SOT_SMD:SOT-23-3</t>
  </si>
  <si>
    <t>D4</t>
  </si>
  <si>
    <t>Yellow LED</t>
  </si>
  <si>
    <t>LED_SMD:LED_0603_1608Metric_Pad1.05x0.95mm_HandSolder</t>
  </si>
  <si>
    <t>D5</t>
  </si>
  <si>
    <t>MBRA320</t>
  </si>
  <si>
    <t>Diode_SMD:D_SMA</t>
  </si>
  <si>
    <t>D6</t>
  </si>
  <si>
    <t>BAT46JFILM</t>
  </si>
  <si>
    <t>Diode_SMD:D_SOD-323_HandSoldering</t>
  </si>
  <si>
    <t>D7</t>
  </si>
  <si>
    <t>Blue LED</t>
  </si>
  <si>
    <t>F1,F2</t>
  </si>
  <si>
    <t>MF-PSMF050X-2</t>
  </si>
  <si>
    <t>Fuse</t>
  </si>
  <si>
    <t>Fuse:Fuse_0805_2012Metric_Pad1.15x1.40mm_HandSolder</t>
  </si>
  <si>
    <t>FB1,FB2</t>
  </si>
  <si>
    <t>BLM21AG102SN1D</t>
  </si>
  <si>
    <t>Inductor_SMD:L_0805_2012Metric_Pad1.05x1.20mm_HandSolder</t>
  </si>
  <si>
    <t>J2</t>
  </si>
  <si>
    <t>2-215079-0</t>
  </si>
  <si>
    <t>TE_my:22150790</t>
  </si>
  <si>
    <t>J3,J4</t>
  </si>
  <si>
    <t>DS-1025-05 - 2x20</t>
  </si>
  <si>
    <t>PLD_my:PLD16_2.0mm</t>
  </si>
  <si>
    <t>L1</t>
  </si>
  <si>
    <t>47u</t>
  </si>
  <si>
    <t>NLC453232T-470K-PF</t>
  </si>
  <si>
    <t>Inductor_SMD:L_1812_4532Metric_Pad1.30x3.40mm_HandSolder</t>
  </si>
  <si>
    <t>L2</t>
  </si>
  <si>
    <t>CM322522-2R2KL</t>
  </si>
  <si>
    <t>Inductor_SMD:L_1210_3225Metric_Pad1.42x2.65mm_HandSolder</t>
  </si>
  <si>
    <t>1k</t>
  </si>
  <si>
    <t>Resistor_SMD:R_0603_1608Metric_Pad0.98x0.95mm_HandSolder</t>
  </si>
  <si>
    <t>R3</t>
  </si>
  <si>
    <t>1.8k</t>
  </si>
  <si>
    <t>3.6k</t>
  </si>
  <si>
    <t>R64</t>
  </si>
  <si>
    <t>3.3k</t>
  </si>
  <si>
    <t>U1</t>
  </si>
  <si>
    <t>APM32F405RGT6</t>
  </si>
  <si>
    <t>Package_QFP:LQFP-64_10x10mm_P0.5mm</t>
  </si>
  <si>
    <t>U2</t>
  </si>
  <si>
    <t>LM2594HVM-3.3</t>
  </si>
  <si>
    <t>U10,U11,U13,U14,U15,U16</t>
  </si>
  <si>
    <t>LMV321</t>
  </si>
  <si>
    <t>Package_TO_SOT_SMD:SOT-23-5_HandSoldering</t>
  </si>
  <si>
    <t>U12</t>
  </si>
  <si>
    <t>FM25W256</t>
  </si>
  <si>
    <t>Y1</t>
  </si>
  <si>
    <t>CSTCE8M00G55A-R0</t>
  </si>
  <si>
    <t>Crystal:Resonator_SMD_Murata_CSTxExxV-3Pin_3.0x1.1mm</t>
  </si>
  <si>
    <t>Capacitor 25V+</t>
  </si>
  <si>
    <t>Resistor SMD</t>
  </si>
  <si>
    <t>Поставщик</t>
  </si>
  <si>
    <t>Заказано</t>
  </si>
  <si>
    <t>Электронщик</t>
  </si>
  <si>
    <t>CA45L-B6R3K107TE400</t>
  </si>
  <si>
    <t>ЧИП и ДИП</t>
  </si>
  <si>
    <t>FYLS-0603UBC</t>
  </si>
  <si>
    <t>FYLS-0603UYC</t>
  </si>
  <si>
    <t>Дата закупки</t>
  </si>
  <si>
    <t>Нужно закупить</t>
  </si>
  <si>
    <t>Количество образцов</t>
  </si>
  <si>
    <t>Срок (дней)</t>
  </si>
  <si>
    <t>8.2k</t>
  </si>
  <si>
    <t>36k</t>
  </si>
  <si>
    <t>R1,R2,R4,R6</t>
  </si>
  <si>
    <t>R41,R43,R45</t>
  </si>
  <si>
    <t>R32,R35,R38,R50,R52,R53,R55,R56,R58,R59,R61,R65</t>
  </si>
  <si>
    <t>R42,R44,R46</t>
  </si>
  <si>
    <t>R34,R36,R37,R39,R51,R54,R57,R60,R62,R63,R66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</si>
</sst>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/>
    <xf numFmtId="14" fontId="2" fillId="3" borderId="3" xfId="0" applyNumberFormat="1" applyFont="1" applyFill="1" applyBorder="1"/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"/>
  <sheetViews>
    <sheetView tabSelected="1" topLeftCell="D22" workbookViewId="0">
      <selection activeCell="M18" sqref="M18"/>
    </sheetView>
  </sheetViews>
  <sheetFormatPr defaultRowHeight="14.4" x14ac:dyDescent="0.3"/>
  <cols>
    <col min="1" max="1" width="14.6640625" customWidth="1"/>
    <col min="2" max="2" width="17.33203125" customWidth="1"/>
    <col min="3" max="3" width="23.77734375" customWidth="1"/>
    <col min="5" max="5" width="24.88671875" customWidth="1"/>
    <col min="6" max="6" width="24.109375" customWidth="1"/>
    <col min="9" max="9" width="14" customWidth="1"/>
    <col min="10" max="10" width="15.21875" customWidth="1"/>
    <col min="12" max="12" width="14" customWidth="1"/>
    <col min="13" max="13" width="20.109375" customWidth="1"/>
  </cols>
  <sheetData>
    <row r="1" spans="1:13" ht="28.8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100</v>
      </c>
      <c r="J1" s="5" t="s">
        <v>92</v>
      </c>
      <c r="K1" s="5" t="s">
        <v>93</v>
      </c>
      <c r="L1" s="8" t="s">
        <v>102</v>
      </c>
      <c r="M1" s="10" t="s">
        <v>101</v>
      </c>
    </row>
    <row r="2" spans="1:13" ht="72" x14ac:dyDescent="0.3">
      <c r="A2" s="1" t="s">
        <v>8</v>
      </c>
      <c r="B2" s="1" t="s">
        <v>9</v>
      </c>
      <c r="C2" s="1"/>
      <c r="D2" s="1"/>
      <c r="E2" s="2" t="s">
        <v>90</v>
      </c>
      <c r="F2" s="1" t="s">
        <v>10</v>
      </c>
      <c r="G2" s="1">
        <v>18</v>
      </c>
      <c r="H2" s="1"/>
      <c r="I2" s="1">
        <f>$M$2*G2</f>
        <v>90</v>
      </c>
      <c r="J2" s="4" t="s">
        <v>94</v>
      </c>
      <c r="K2" s="3">
        <v>100</v>
      </c>
      <c r="L2" s="4">
        <v>0</v>
      </c>
      <c r="M2" s="11">
        <v>5</v>
      </c>
    </row>
    <row r="3" spans="1:13" ht="43.2" x14ac:dyDescent="0.3">
      <c r="A3" s="1" t="s">
        <v>11</v>
      </c>
      <c r="B3" s="1" t="s">
        <v>12</v>
      </c>
      <c r="C3" s="1"/>
      <c r="D3" s="1"/>
      <c r="E3" s="2" t="s">
        <v>90</v>
      </c>
      <c r="F3" s="1" t="s">
        <v>10</v>
      </c>
      <c r="G3" s="1">
        <v>2</v>
      </c>
      <c r="H3" s="1"/>
      <c r="I3" s="1">
        <f t="shared" ref="I3:I34" si="0">$M$2*G3</f>
        <v>10</v>
      </c>
      <c r="J3" s="4" t="s">
        <v>94</v>
      </c>
      <c r="K3" s="3">
        <v>20</v>
      </c>
      <c r="L3" s="4">
        <v>0</v>
      </c>
    </row>
    <row r="4" spans="1:13" ht="43.2" x14ac:dyDescent="0.3">
      <c r="A4" s="1" t="s">
        <v>13</v>
      </c>
      <c r="B4" s="1" t="s">
        <v>14</v>
      </c>
      <c r="C4" s="1"/>
      <c r="D4" s="1"/>
      <c r="E4" s="2" t="s">
        <v>90</v>
      </c>
      <c r="F4" s="1" t="s">
        <v>10</v>
      </c>
      <c r="G4" s="1">
        <v>4</v>
      </c>
      <c r="H4" s="1"/>
      <c r="I4" s="1">
        <f t="shared" si="0"/>
        <v>20</v>
      </c>
      <c r="J4" s="4" t="s">
        <v>94</v>
      </c>
      <c r="K4" s="3">
        <v>30</v>
      </c>
      <c r="L4" s="4">
        <v>0</v>
      </c>
    </row>
    <row r="5" spans="1:13" ht="43.2" x14ac:dyDescent="0.3">
      <c r="A5" s="1" t="s">
        <v>15</v>
      </c>
      <c r="B5" s="1" t="s">
        <v>16</v>
      </c>
      <c r="C5" s="1"/>
      <c r="D5" s="1"/>
      <c r="E5" s="2" t="s">
        <v>90</v>
      </c>
      <c r="F5" s="1" t="s">
        <v>10</v>
      </c>
      <c r="G5" s="1">
        <v>1</v>
      </c>
      <c r="H5" s="1"/>
      <c r="I5" s="1">
        <f t="shared" si="0"/>
        <v>5</v>
      </c>
      <c r="J5" s="4" t="s">
        <v>94</v>
      </c>
      <c r="K5" s="3">
        <v>10</v>
      </c>
      <c r="L5" s="4">
        <v>0</v>
      </c>
    </row>
    <row r="6" spans="1:13" ht="43.2" x14ac:dyDescent="0.3">
      <c r="A6" s="1" t="s">
        <v>17</v>
      </c>
      <c r="B6" s="1" t="s">
        <v>18</v>
      </c>
      <c r="C6" s="1"/>
      <c r="D6" s="1"/>
      <c r="E6" s="2" t="s">
        <v>90</v>
      </c>
      <c r="F6" s="1" t="s">
        <v>10</v>
      </c>
      <c r="G6" s="1">
        <v>2</v>
      </c>
      <c r="H6" s="1"/>
      <c r="I6" s="1">
        <f t="shared" si="0"/>
        <v>10</v>
      </c>
      <c r="J6" s="4" t="s">
        <v>94</v>
      </c>
      <c r="K6" s="3">
        <v>20</v>
      </c>
      <c r="L6" s="4">
        <v>0</v>
      </c>
    </row>
    <row r="7" spans="1:13" ht="43.2" x14ac:dyDescent="0.3">
      <c r="A7" s="1" t="s">
        <v>19</v>
      </c>
      <c r="B7" s="1" t="s">
        <v>20</v>
      </c>
      <c r="C7" s="1"/>
      <c r="D7" s="1"/>
      <c r="E7" s="2" t="s">
        <v>90</v>
      </c>
      <c r="F7" s="1" t="s">
        <v>21</v>
      </c>
      <c r="G7" s="1">
        <v>4</v>
      </c>
      <c r="H7" s="1"/>
      <c r="I7" s="1">
        <f t="shared" si="0"/>
        <v>20</v>
      </c>
      <c r="J7" s="4" t="s">
        <v>94</v>
      </c>
      <c r="K7" s="3">
        <v>30</v>
      </c>
      <c r="L7" s="4">
        <v>0</v>
      </c>
    </row>
    <row r="8" spans="1:13" ht="43.2" x14ac:dyDescent="0.3">
      <c r="A8" s="1" t="s">
        <v>22</v>
      </c>
      <c r="B8" s="1" t="s">
        <v>23</v>
      </c>
      <c r="C8" s="1" t="s">
        <v>95</v>
      </c>
      <c r="D8" s="1"/>
      <c r="E8" s="2" t="s">
        <v>90</v>
      </c>
      <c r="F8" s="1" t="s">
        <v>24</v>
      </c>
      <c r="G8" s="1">
        <v>1</v>
      </c>
      <c r="H8" s="1"/>
      <c r="I8" s="1">
        <f t="shared" si="0"/>
        <v>5</v>
      </c>
      <c r="J8" s="4" t="s">
        <v>94</v>
      </c>
      <c r="K8" s="3">
        <v>6</v>
      </c>
      <c r="L8" s="4">
        <v>0</v>
      </c>
    </row>
    <row r="9" spans="1:13" ht="43.2" x14ac:dyDescent="0.3">
      <c r="A9" s="1" t="s">
        <v>25</v>
      </c>
      <c r="B9" s="1" t="s">
        <v>26</v>
      </c>
      <c r="C9" s="1"/>
      <c r="D9" s="1"/>
      <c r="E9" s="2" t="s">
        <v>90</v>
      </c>
      <c r="F9" s="1" t="s">
        <v>10</v>
      </c>
      <c r="G9" s="1">
        <v>7</v>
      </c>
      <c r="H9" s="1"/>
      <c r="I9" s="1">
        <f t="shared" si="0"/>
        <v>35</v>
      </c>
      <c r="J9" s="4" t="s">
        <v>94</v>
      </c>
      <c r="K9" s="3">
        <v>40</v>
      </c>
      <c r="L9" s="4">
        <v>0</v>
      </c>
    </row>
    <row r="10" spans="1:13" ht="28.8" x14ac:dyDescent="0.3">
      <c r="A10" s="1" t="s">
        <v>27</v>
      </c>
      <c r="B10" s="1" t="s">
        <v>28</v>
      </c>
      <c r="C10" s="2" t="s">
        <v>29</v>
      </c>
      <c r="D10" s="1"/>
      <c r="E10" s="1" t="s">
        <v>30</v>
      </c>
      <c r="F10" s="1" t="s">
        <v>31</v>
      </c>
      <c r="G10" s="1">
        <v>1</v>
      </c>
      <c r="H10" s="1"/>
      <c r="I10" s="1">
        <f t="shared" si="0"/>
        <v>5</v>
      </c>
      <c r="J10" s="4"/>
      <c r="K10" s="9"/>
      <c r="L10" s="3"/>
    </row>
    <row r="11" spans="1:13" ht="28.8" x14ac:dyDescent="0.3">
      <c r="A11" s="1" t="s">
        <v>32</v>
      </c>
      <c r="B11" s="1" t="s">
        <v>28</v>
      </c>
      <c r="C11" s="1" t="s">
        <v>33</v>
      </c>
      <c r="D11" s="1"/>
      <c r="E11" s="1" t="s">
        <v>34</v>
      </c>
      <c r="F11" s="1" t="s">
        <v>35</v>
      </c>
      <c r="G11" s="1">
        <v>1</v>
      </c>
      <c r="H11" s="1"/>
      <c r="I11" s="1">
        <f t="shared" si="0"/>
        <v>5</v>
      </c>
      <c r="J11" s="4"/>
      <c r="K11" s="9"/>
      <c r="L11" s="3"/>
    </row>
    <row r="12" spans="1:13" ht="28.8" x14ac:dyDescent="0.3">
      <c r="A12" s="1" t="s">
        <v>36</v>
      </c>
      <c r="B12" s="1" t="s">
        <v>28</v>
      </c>
      <c r="C12" s="2" t="s">
        <v>37</v>
      </c>
      <c r="D12" s="1"/>
      <c r="E12" s="1"/>
      <c r="F12" s="1" t="s">
        <v>38</v>
      </c>
      <c r="G12" s="1">
        <v>5</v>
      </c>
      <c r="H12" s="1"/>
      <c r="I12" s="1">
        <f t="shared" si="0"/>
        <v>25</v>
      </c>
      <c r="J12" s="4" t="s">
        <v>96</v>
      </c>
      <c r="K12" s="3">
        <v>30</v>
      </c>
      <c r="L12" s="3"/>
    </row>
    <row r="13" spans="1:13" ht="43.2" x14ac:dyDescent="0.3">
      <c r="A13" s="1" t="s">
        <v>39</v>
      </c>
      <c r="B13" s="1" t="s">
        <v>28</v>
      </c>
      <c r="C13" s="2" t="s">
        <v>98</v>
      </c>
      <c r="D13" s="1"/>
      <c r="E13" s="1" t="s">
        <v>40</v>
      </c>
      <c r="F13" s="1" t="s">
        <v>41</v>
      </c>
      <c r="G13" s="1">
        <v>1</v>
      </c>
      <c r="H13" s="1"/>
      <c r="I13" s="1">
        <f t="shared" si="0"/>
        <v>5</v>
      </c>
      <c r="J13" s="4" t="s">
        <v>94</v>
      </c>
      <c r="K13" s="3">
        <v>10</v>
      </c>
      <c r="L13" s="3"/>
    </row>
    <row r="14" spans="1:13" x14ac:dyDescent="0.3">
      <c r="A14" s="1" t="s">
        <v>42</v>
      </c>
      <c r="B14" s="1" t="s">
        <v>28</v>
      </c>
      <c r="C14" s="2" t="s">
        <v>43</v>
      </c>
      <c r="D14" s="1"/>
      <c r="E14" s="1"/>
      <c r="F14" s="1" t="s">
        <v>44</v>
      </c>
      <c r="G14" s="1">
        <v>1</v>
      </c>
      <c r="H14" s="1"/>
      <c r="I14" s="1">
        <f t="shared" si="0"/>
        <v>5</v>
      </c>
      <c r="J14" s="4" t="s">
        <v>96</v>
      </c>
      <c r="K14" s="9"/>
      <c r="L14" s="3"/>
    </row>
    <row r="15" spans="1:13" ht="28.8" x14ac:dyDescent="0.3">
      <c r="A15" s="1" t="s">
        <v>45</v>
      </c>
      <c r="B15" s="1" t="s">
        <v>28</v>
      </c>
      <c r="C15" s="2" t="s">
        <v>46</v>
      </c>
      <c r="D15" s="1"/>
      <c r="E15" s="1"/>
      <c r="F15" s="1" t="s">
        <v>47</v>
      </c>
      <c r="G15" s="1">
        <v>1</v>
      </c>
      <c r="H15" s="1"/>
      <c r="I15" s="1">
        <f t="shared" si="0"/>
        <v>5</v>
      </c>
      <c r="J15" s="4" t="s">
        <v>94</v>
      </c>
      <c r="K15" s="3">
        <v>10</v>
      </c>
      <c r="L15" s="3"/>
    </row>
    <row r="16" spans="1:13" ht="43.2" x14ac:dyDescent="0.3">
      <c r="A16" s="1" t="s">
        <v>48</v>
      </c>
      <c r="B16" s="1" t="s">
        <v>28</v>
      </c>
      <c r="C16" s="2" t="s">
        <v>97</v>
      </c>
      <c r="D16" s="1"/>
      <c r="E16" s="1" t="s">
        <v>49</v>
      </c>
      <c r="F16" s="1" t="s">
        <v>41</v>
      </c>
      <c r="G16" s="1">
        <v>1</v>
      </c>
      <c r="H16" s="1"/>
      <c r="I16" s="1">
        <f t="shared" si="0"/>
        <v>5</v>
      </c>
      <c r="J16" s="4" t="s">
        <v>94</v>
      </c>
      <c r="K16" s="3">
        <v>10</v>
      </c>
      <c r="L16" s="3"/>
    </row>
    <row r="17" spans="1:12" ht="43.2" x14ac:dyDescent="0.3">
      <c r="A17" s="1" t="s">
        <v>50</v>
      </c>
      <c r="B17" s="1" t="s">
        <v>28</v>
      </c>
      <c r="C17" s="2" t="s">
        <v>51</v>
      </c>
      <c r="D17" s="1"/>
      <c r="E17" s="2" t="s">
        <v>52</v>
      </c>
      <c r="F17" s="1" t="s">
        <v>53</v>
      </c>
      <c r="G17" s="1">
        <v>2</v>
      </c>
      <c r="H17" s="1"/>
      <c r="I17" s="1">
        <f t="shared" si="0"/>
        <v>10</v>
      </c>
      <c r="J17" s="4" t="s">
        <v>96</v>
      </c>
      <c r="K17" s="3">
        <v>15</v>
      </c>
      <c r="L17" s="3"/>
    </row>
    <row r="18" spans="1:12" ht="43.2" x14ac:dyDescent="0.3">
      <c r="A18" s="1" t="s">
        <v>54</v>
      </c>
      <c r="B18" s="1" t="s">
        <v>28</v>
      </c>
      <c r="C18" s="2" t="s">
        <v>55</v>
      </c>
      <c r="D18" s="1"/>
      <c r="E18" s="1"/>
      <c r="F18" s="1" t="s">
        <v>56</v>
      </c>
      <c r="G18" s="1">
        <v>2</v>
      </c>
      <c r="H18" s="1"/>
      <c r="I18" s="1">
        <f t="shared" si="0"/>
        <v>10</v>
      </c>
      <c r="J18" s="4" t="s">
        <v>94</v>
      </c>
      <c r="K18" s="3">
        <v>15</v>
      </c>
      <c r="L18" s="3"/>
    </row>
    <row r="19" spans="1:12" x14ac:dyDescent="0.3">
      <c r="A19" s="1" t="s">
        <v>57</v>
      </c>
      <c r="B19" s="1" t="s">
        <v>28</v>
      </c>
      <c r="C19" s="1" t="s">
        <v>58</v>
      </c>
      <c r="D19" s="1"/>
      <c r="E19" s="1"/>
      <c r="F19" s="1" t="s">
        <v>59</v>
      </c>
      <c r="G19" s="1">
        <v>1</v>
      </c>
      <c r="H19" s="1"/>
      <c r="I19" s="1">
        <f t="shared" si="0"/>
        <v>5</v>
      </c>
      <c r="J19" s="4" t="s">
        <v>94</v>
      </c>
      <c r="K19" s="3">
        <v>5</v>
      </c>
      <c r="L19" s="3">
        <v>4</v>
      </c>
    </row>
    <row r="20" spans="1:12" x14ac:dyDescent="0.3">
      <c r="A20" s="1" t="s">
        <v>60</v>
      </c>
      <c r="B20" s="1" t="s">
        <v>28</v>
      </c>
      <c r="C20" s="1" t="s">
        <v>61</v>
      </c>
      <c r="D20" s="1"/>
      <c r="E20" s="1"/>
      <c r="F20" s="1" t="s">
        <v>62</v>
      </c>
      <c r="G20" s="1">
        <v>2</v>
      </c>
      <c r="H20" s="1"/>
      <c r="I20" s="1">
        <f t="shared" si="0"/>
        <v>10</v>
      </c>
      <c r="J20" s="4" t="s">
        <v>94</v>
      </c>
      <c r="K20" s="3">
        <v>10</v>
      </c>
      <c r="L20" s="3"/>
    </row>
    <row r="21" spans="1:12" ht="43.2" x14ac:dyDescent="0.3">
      <c r="A21" s="1" t="s">
        <v>63</v>
      </c>
      <c r="B21" s="1" t="s">
        <v>64</v>
      </c>
      <c r="C21" s="1" t="s">
        <v>65</v>
      </c>
      <c r="D21" s="1"/>
      <c r="E21" s="1"/>
      <c r="F21" s="1" t="s">
        <v>66</v>
      </c>
      <c r="G21" s="1">
        <v>1</v>
      </c>
      <c r="H21" s="1"/>
      <c r="I21" s="1">
        <f t="shared" si="0"/>
        <v>5</v>
      </c>
      <c r="J21" s="4" t="s">
        <v>96</v>
      </c>
      <c r="K21" s="3">
        <v>5</v>
      </c>
      <c r="L21" s="3"/>
    </row>
    <row r="22" spans="1:12" ht="43.2" x14ac:dyDescent="0.3">
      <c r="A22" s="1" t="s">
        <v>67</v>
      </c>
      <c r="B22" s="1" t="s">
        <v>14</v>
      </c>
      <c r="C22" s="1" t="s">
        <v>68</v>
      </c>
      <c r="D22" s="1"/>
      <c r="E22" s="1"/>
      <c r="F22" s="1" t="s">
        <v>69</v>
      </c>
      <c r="G22" s="1">
        <v>1</v>
      </c>
      <c r="H22" s="1"/>
      <c r="I22" s="1">
        <f t="shared" si="0"/>
        <v>5</v>
      </c>
      <c r="J22" s="4" t="s">
        <v>96</v>
      </c>
      <c r="K22" s="3">
        <v>5</v>
      </c>
      <c r="L22" s="3"/>
    </row>
    <row r="23" spans="1:12" ht="43.2" x14ac:dyDescent="0.3">
      <c r="A23" s="2" t="s">
        <v>105</v>
      </c>
      <c r="B23" s="1" t="s">
        <v>70</v>
      </c>
      <c r="C23" s="1"/>
      <c r="D23" s="1"/>
      <c r="E23" s="2" t="s">
        <v>91</v>
      </c>
      <c r="F23" s="1" t="s">
        <v>71</v>
      </c>
      <c r="G23" s="1">
        <v>4</v>
      </c>
      <c r="H23" s="1"/>
      <c r="I23" s="1">
        <f t="shared" si="0"/>
        <v>20</v>
      </c>
      <c r="J23" s="4" t="s">
        <v>94</v>
      </c>
      <c r="K23" s="3">
        <v>30</v>
      </c>
      <c r="L23" s="3">
        <v>0</v>
      </c>
    </row>
    <row r="24" spans="1:12" ht="43.2" x14ac:dyDescent="0.3">
      <c r="A24" s="1" t="s">
        <v>72</v>
      </c>
      <c r="B24" s="1">
        <v>120</v>
      </c>
      <c r="C24" s="1"/>
      <c r="D24" s="1"/>
      <c r="E24" s="2" t="s">
        <v>91</v>
      </c>
      <c r="F24" s="1" t="s">
        <v>71</v>
      </c>
      <c r="G24" s="1">
        <v>1</v>
      </c>
      <c r="H24" s="1"/>
      <c r="I24" s="1">
        <f t="shared" si="0"/>
        <v>5</v>
      </c>
      <c r="J24" s="4" t="s">
        <v>94</v>
      </c>
      <c r="K24" s="3">
        <v>10</v>
      </c>
      <c r="L24" s="3">
        <v>0</v>
      </c>
    </row>
    <row r="25" spans="1:12" ht="43.2" x14ac:dyDescent="0.3">
      <c r="A25" s="2" t="s">
        <v>106</v>
      </c>
      <c r="B25" s="2" t="s">
        <v>103</v>
      </c>
      <c r="C25" s="1"/>
      <c r="D25" s="1"/>
      <c r="E25" s="2" t="s">
        <v>91</v>
      </c>
      <c r="F25" s="1" t="s">
        <v>71</v>
      </c>
      <c r="G25" s="1">
        <v>3</v>
      </c>
      <c r="H25" s="1"/>
      <c r="I25" s="1">
        <f t="shared" si="0"/>
        <v>15</v>
      </c>
      <c r="J25" s="4" t="s">
        <v>94</v>
      </c>
      <c r="K25" s="3">
        <v>20</v>
      </c>
      <c r="L25" s="3">
        <v>0</v>
      </c>
    </row>
    <row r="26" spans="1:12" ht="43.2" x14ac:dyDescent="0.3">
      <c r="A26" s="2" t="s">
        <v>108</v>
      </c>
      <c r="B26" s="2" t="s">
        <v>104</v>
      </c>
      <c r="C26" s="1"/>
      <c r="D26" s="1"/>
      <c r="E26" s="2" t="s">
        <v>91</v>
      </c>
      <c r="F26" s="1" t="s">
        <v>71</v>
      </c>
      <c r="G26" s="1">
        <v>3</v>
      </c>
      <c r="H26" s="1"/>
      <c r="I26" s="1">
        <f t="shared" si="0"/>
        <v>15</v>
      </c>
      <c r="J26" s="4" t="s">
        <v>94</v>
      </c>
      <c r="K26" s="3">
        <v>20</v>
      </c>
      <c r="L26" s="3">
        <v>0</v>
      </c>
    </row>
    <row r="27" spans="1:12" ht="57.6" x14ac:dyDescent="0.3">
      <c r="A27" s="2" t="s">
        <v>107</v>
      </c>
      <c r="B27" s="2" t="s">
        <v>73</v>
      </c>
      <c r="C27" s="1"/>
      <c r="D27" s="1"/>
      <c r="E27" s="2" t="s">
        <v>91</v>
      </c>
      <c r="F27" s="1" t="s">
        <v>71</v>
      </c>
      <c r="G27" s="1">
        <v>12</v>
      </c>
      <c r="H27" s="1"/>
      <c r="I27" s="1">
        <f t="shared" si="0"/>
        <v>60</v>
      </c>
      <c r="J27" s="4" t="s">
        <v>94</v>
      </c>
      <c r="K27" s="3">
        <v>100</v>
      </c>
      <c r="L27" s="3">
        <v>0</v>
      </c>
    </row>
    <row r="28" spans="1:12" ht="43.2" x14ac:dyDescent="0.3">
      <c r="A28" s="2" t="s">
        <v>109</v>
      </c>
      <c r="B28" s="2" t="s">
        <v>74</v>
      </c>
      <c r="C28" s="1"/>
      <c r="D28" s="1"/>
      <c r="E28" s="2" t="s">
        <v>91</v>
      </c>
      <c r="F28" s="1" t="s">
        <v>71</v>
      </c>
      <c r="G28" s="1">
        <v>11</v>
      </c>
      <c r="H28" s="1"/>
      <c r="I28" s="1">
        <f t="shared" si="0"/>
        <v>55</v>
      </c>
      <c r="J28" s="4" t="s">
        <v>94</v>
      </c>
      <c r="K28" s="3">
        <v>100</v>
      </c>
      <c r="L28" s="3">
        <v>0</v>
      </c>
    </row>
    <row r="29" spans="1:12" ht="43.2" x14ac:dyDescent="0.3">
      <c r="A29" s="1" t="s">
        <v>75</v>
      </c>
      <c r="B29" s="1" t="s">
        <v>76</v>
      </c>
      <c r="C29" s="1"/>
      <c r="D29" s="1"/>
      <c r="E29" s="2" t="s">
        <v>91</v>
      </c>
      <c r="F29" s="1" t="s">
        <v>71</v>
      </c>
      <c r="G29" s="1">
        <v>1</v>
      </c>
      <c r="H29" s="1"/>
      <c r="I29" s="1">
        <f t="shared" si="0"/>
        <v>5</v>
      </c>
      <c r="J29" s="4" t="s">
        <v>94</v>
      </c>
      <c r="K29" s="3">
        <v>10</v>
      </c>
      <c r="L29" s="3">
        <v>0</v>
      </c>
    </row>
    <row r="30" spans="1:12" ht="28.8" x14ac:dyDescent="0.3">
      <c r="A30" s="1" t="s">
        <v>77</v>
      </c>
      <c r="B30" s="1" t="s">
        <v>28</v>
      </c>
      <c r="C30" s="2" t="s">
        <v>78</v>
      </c>
      <c r="D30" s="1"/>
      <c r="E30" s="1"/>
      <c r="F30" s="1" t="s">
        <v>79</v>
      </c>
      <c r="G30" s="1">
        <v>1</v>
      </c>
      <c r="H30" s="1"/>
      <c r="I30" s="1">
        <f t="shared" si="0"/>
        <v>5</v>
      </c>
      <c r="J30" s="4" t="s">
        <v>94</v>
      </c>
      <c r="K30" s="3">
        <v>6</v>
      </c>
      <c r="L30" s="3"/>
    </row>
    <row r="31" spans="1:12" ht="28.8" x14ac:dyDescent="0.3">
      <c r="A31" s="1" t="s">
        <v>80</v>
      </c>
      <c r="B31" s="1" t="s">
        <v>28</v>
      </c>
      <c r="C31" s="2" t="s">
        <v>81</v>
      </c>
      <c r="D31" s="1"/>
      <c r="E31" s="1"/>
      <c r="F31" s="1" t="s">
        <v>31</v>
      </c>
      <c r="G31" s="1">
        <v>1</v>
      </c>
      <c r="H31" s="1"/>
      <c r="I31" s="1">
        <f t="shared" si="0"/>
        <v>5</v>
      </c>
      <c r="J31" s="4" t="s">
        <v>96</v>
      </c>
      <c r="K31" s="3">
        <v>6</v>
      </c>
      <c r="L31" s="3"/>
    </row>
    <row r="32" spans="1:12" ht="28.8" x14ac:dyDescent="0.3">
      <c r="A32" s="1" t="s">
        <v>82</v>
      </c>
      <c r="B32" s="1" t="s">
        <v>28</v>
      </c>
      <c r="C32" s="1" t="s">
        <v>83</v>
      </c>
      <c r="D32" s="1"/>
      <c r="E32" s="1"/>
      <c r="F32" s="1" t="s">
        <v>84</v>
      </c>
      <c r="G32" s="1">
        <v>6</v>
      </c>
      <c r="H32" s="1"/>
      <c r="I32" s="1">
        <f t="shared" si="0"/>
        <v>30</v>
      </c>
      <c r="J32" s="4" t="s">
        <v>94</v>
      </c>
      <c r="K32" s="3">
        <v>40</v>
      </c>
      <c r="L32" s="3"/>
    </row>
    <row r="33" spans="1:12" ht="28.8" x14ac:dyDescent="0.3">
      <c r="A33" s="1" t="s">
        <v>85</v>
      </c>
      <c r="B33" s="1" t="s">
        <v>28</v>
      </c>
      <c r="C33" s="1" t="s">
        <v>86</v>
      </c>
      <c r="D33" s="1"/>
      <c r="E33" s="1"/>
      <c r="F33" s="1" t="s">
        <v>31</v>
      </c>
      <c r="G33" s="1">
        <v>1</v>
      </c>
      <c r="H33" s="1"/>
      <c r="I33" s="1">
        <f t="shared" si="0"/>
        <v>5</v>
      </c>
      <c r="J33" s="4"/>
      <c r="K33" s="9"/>
      <c r="L33" s="3"/>
    </row>
    <row r="34" spans="1:12" ht="43.2" x14ac:dyDescent="0.3">
      <c r="A34" s="1" t="s">
        <v>87</v>
      </c>
      <c r="B34" s="1" t="s">
        <v>28</v>
      </c>
      <c r="C34" s="2" t="s">
        <v>88</v>
      </c>
      <c r="D34" s="1"/>
      <c r="E34" s="1"/>
      <c r="F34" s="1" t="s">
        <v>89</v>
      </c>
      <c r="G34" s="1">
        <v>1</v>
      </c>
      <c r="H34" s="1"/>
      <c r="I34" s="1">
        <f t="shared" si="0"/>
        <v>5</v>
      </c>
      <c r="J34" s="4" t="s">
        <v>94</v>
      </c>
      <c r="K34" s="3">
        <v>6</v>
      </c>
      <c r="L34" s="3"/>
    </row>
    <row r="35" spans="1:12" ht="15" thickBot="1" x14ac:dyDescent="0.35"/>
    <row r="36" spans="1:12" ht="15" thickBot="1" x14ac:dyDescent="0.35">
      <c r="A36" s="6" t="s">
        <v>99</v>
      </c>
      <c r="B36" s="7">
        <v>45946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Илья Федичев</cp:lastModifiedBy>
  <dcterms:created xsi:type="dcterms:W3CDTF">2025-06-16T10:22:29Z</dcterms:created>
  <dcterms:modified xsi:type="dcterms:W3CDTF">2025-10-17T09:06:55Z</dcterms:modified>
  <cp:category/>
</cp:coreProperties>
</file>